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os/Desktop/"/>
    </mc:Choice>
  </mc:AlternateContent>
  <xr:revisionPtr revIDLastSave="0" documentId="8_{72E5A5FC-7D8C-0945-917C-BDD74BC2FA9B}" xr6:coauthVersionLast="47" xr6:coauthVersionMax="47" xr10:uidLastSave="{00000000-0000-0000-0000-000000000000}"/>
  <bookViews>
    <workbookView xWindow="0" yWindow="0" windowWidth="25600" windowHeight="16000" tabRatio="500" activeTab="4" xr2:uid="{00000000-000D-0000-FFFF-FFFF00000000}"/>
  </bookViews>
  <sheets>
    <sheet name="Cover" sheetId="1" r:id="rId1"/>
    <sheet name="Assumptions" sheetId="2" r:id="rId2"/>
    <sheet name="Sources &amp; Uses" sheetId="3" r:id="rId3"/>
    <sheet name="Operating Model &amp; Debt Schedule" sheetId="4" r:id="rId4"/>
    <sheet name="Returns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5" l="1"/>
  <c r="B5" i="5"/>
  <c r="C32" i="4"/>
  <c r="B11" i="4"/>
  <c r="B9" i="4"/>
  <c r="B8" i="4"/>
  <c r="G7" i="4"/>
  <c r="F7" i="4"/>
  <c r="E7" i="4"/>
  <c r="D7" i="4"/>
  <c r="C7" i="4"/>
  <c r="C6" i="4"/>
  <c r="C26" i="4" s="1"/>
  <c r="B6" i="4"/>
  <c r="B14" i="3"/>
  <c r="B12" i="3"/>
  <c r="B5" i="3"/>
  <c r="E4" i="3"/>
  <c r="B4" i="3"/>
  <c r="B6" i="3" s="1"/>
  <c r="B7" i="3" s="1"/>
  <c r="E5" i="3" s="1"/>
  <c r="E7" i="3" l="1"/>
  <c r="B9" i="3" s="1"/>
  <c r="B10" i="5"/>
  <c r="B13" i="3"/>
  <c r="D6" i="4"/>
  <c r="C14" i="4"/>
  <c r="B18" i="4"/>
  <c r="C10" i="4"/>
  <c r="C24" i="4" s="1"/>
  <c r="C8" i="4"/>
  <c r="C16" i="4"/>
  <c r="C28" i="4" s="1"/>
  <c r="C25" i="4"/>
  <c r="B36" i="4" l="1"/>
  <c r="B37" i="4"/>
  <c r="C9" i="4"/>
  <c r="C11" i="4"/>
  <c r="C21" i="4" s="1"/>
  <c r="C15" i="4"/>
  <c r="D25" i="4"/>
  <c r="D10" i="4"/>
  <c r="D24" i="4" s="1"/>
  <c r="E6" i="4"/>
  <c r="D26" i="4"/>
  <c r="D8" i="4"/>
  <c r="D9" i="4" l="1"/>
  <c r="D11" i="4"/>
  <c r="C22" i="4"/>
  <c r="C23" i="4" s="1"/>
  <c r="C27" i="4" s="1"/>
  <c r="F6" i="4"/>
  <c r="E26" i="4"/>
  <c r="E25" i="4"/>
  <c r="E8" i="4"/>
  <c r="E10" i="4"/>
  <c r="E24" i="4" s="1"/>
  <c r="C29" i="4" l="1"/>
  <c r="C17" i="4"/>
  <c r="E9" i="4"/>
  <c r="E11" i="4"/>
  <c r="F26" i="4"/>
  <c r="F25" i="4"/>
  <c r="F8" i="4"/>
  <c r="F10" i="4"/>
  <c r="F24" i="4" s="1"/>
  <c r="G6" i="4"/>
  <c r="G26" i="4" l="1"/>
  <c r="G25" i="4"/>
  <c r="G8" i="4"/>
  <c r="G10" i="4"/>
  <c r="G24" i="4" s="1"/>
  <c r="F11" i="4"/>
  <c r="F9" i="4"/>
  <c r="C30" i="4"/>
  <c r="C18" i="4"/>
  <c r="C31" i="4"/>
  <c r="C33" i="4" s="1"/>
  <c r="D32" i="4" s="1"/>
  <c r="C37" i="4" l="1"/>
  <c r="D14" i="4"/>
  <c r="C36" i="4"/>
  <c r="B4" i="5"/>
  <c r="B6" i="5" s="1"/>
  <c r="G9" i="4"/>
  <c r="G11" i="4"/>
  <c r="D15" i="4" l="1"/>
  <c r="D21" i="4" s="1"/>
  <c r="D16" i="4"/>
  <c r="D28" i="4" s="1"/>
  <c r="D22" i="4" l="1"/>
  <c r="D23" i="4" s="1"/>
  <c r="D27" i="4" s="1"/>
  <c r="D29" i="4" l="1"/>
  <c r="D17" i="4"/>
  <c r="D30" i="4" l="1"/>
  <c r="D31" i="4" s="1"/>
  <c r="D33" i="4" s="1"/>
  <c r="E32" i="4" s="1"/>
  <c r="D18" i="4"/>
  <c r="D37" i="4" l="1"/>
  <c r="E14" i="4"/>
  <c r="D36" i="4"/>
  <c r="E15" i="4" l="1"/>
  <c r="E21" i="4" s="1"/>
  <c r="E16" i="4"/>
  <c r="E28" i="4" s="1"/>
  <c r="E23" i="4" l="1"/>
  <c r="E27" i="4" s="1"/>
  <c r="E22" i="4"/>
  <c r="E17" i="4" l="1"/>
  <c r="E29" i="4"/>
  <c r="E30" i="4" l="1"/>
  <c r="E31" i="4" s="1"/>
  <c r="E33" i="4" s="1"/>
  <c r="F32" i="4" s="1"/>
  <c r="E18" i="4"/>
  <c r="E36" i="4" l="1"/>
  <c r="E37" i="4"/>
  <c r="F14" i="4"/>
  <c r="F15" i="4" l="1"/>
  <c r="F21" i="4" s="1"/>
  <c r="F16" i="4"/>
  <c r="F28" i="4" s="1"/>
  <c r="F22" i="4" l="1"/>
  <c r="F23" i="4" s="1"/>
  <c r="F27" i="4" s="1"/>
  <c r="F17" i="4" l="1"/>
  <c r="F29" i="4"/>
  <c r="F30" i="4" l="1"/>
  <c r="F31" i="4" s="1"/>
  <c r="F33" i="4" s="1"/>
  <c r="G32" i="4" s="1"/>
  <c r="F18" i="4"/>
  <c r="F36" i="4" l="1"/>
  <c r="F37" i="4"/>
  <c r="G14" i="4"/>
  <c r="G15" i="4" l="1"/>
  <c r="G21" i="4" s="1"/>
  <c r="G16" i="4"/>
  <c r="G28" i="4" s="1"/>
  <c r="G22" i="4" l="1"/>
  <c r="G23" i="4" s="1"/>
  <c r="G27" i="4" s="1"/>
  <c r="G29" i="4" l="1"/>
  <c r="G17" i="4"/>
  <c r="G30" i="4" l="1"/>
  <c r="G18" i="4"/>
  <c r="G31" i="4"/>
  <c r="G33" i="4" s="1"/>
  <c r="G37" i="4" l="1"/>
  <c r="G36" i="4"/>
  <c r="B7" i="5" s="1"/>
  <c r="B8" i="5" s="1"/>
  <c r="B13" i="5" s="1"/>
  <c r="B14" i="5" s="1"/>
</calcChain>
</file>

<file path=xl/sharedStrings.xml><?xml version="1.0" encoding="utf-8"?>
<sst xmlns="http://schemas.openxmlformats.org/spreadsheetml/2006/main" count="153" uniqueCount="139">
  <si>
    <t>Jarir Marketing Company (TADAWUL: 4190)</t>
  </si>
  <si>
    <t>Illustrative Leveraged Buyout (LBO) Analysis</t>
  </si>
  <si>
    <t>Prepared for practice purposes — PE Deal Process &amp; LBO Modeling</t>
  </si>
  <si>
    <t>Contents</t>
  </si>
  <si>
    <t>1. Assumptions</t>
  </si>
  <si>
    <t>2. Sources &amp; Uses</t>
  </si>
  <si>
    <t>3. Operating Model</t>
  </si>
  <si>
    <t>4. Debt Schedule &amp; Free Cash Flow</t>
  </si>
  <si>
    <t>5. Returns Analysis &amp; Sensitivity</t>
  </si>
  <si>
    <t>Key Notes</t>
  </si>
  <si>
    <t>All figures in SAR millions unless noted otherwise.</t>
  </si>
  <si>
    <t>Entry valuation set at Jarir's current public market EV/EBITDA (~15.0x) to reflect a realistic take-private scenario.</t>
  </si>
  <si>
    <t>Model illustrates why richly-valued, low-growth public retailers are structurally difficult LBO candidates without</t>
  </si>
  <si>
    <t xml:space="preserve">   operational improvement, multiple re-rating, or add-on M&amp;A — a useful case study insight.</t>
  </si>
  <si>
    <t>Historical FY2025A figures sourced from company financial statements / market data (see cell notes).</t>
  </si>
  <si>
    <t>Assumptions (SAR mm unless noted)</t>
  </si>
  <si>
    <t>Transaction Assumptions</t>
  </si>
  <si>
    <t>FY2025A Revenue</t>
  </si>
  <si>
    <t>Source: stockanalysis.com, FY2025 Income Statement, Dec-2025</t>
  </si>
  <si>
    <t>FY2025A EBITDA</t>
  </si>
  <si>
    <t>Source: stockanalysis.com, FY2025 Income Statement (EBITDA margin 10.44%)</t>
  </si>
  <si>
    <t>Existing Net Debt at Entry</t>
  </si>
  <si>
    <t>Source: stockanalysis.com Statistics; Debt SAR 813mm less Cash SAR 191mm</t>
  </si>
  <si>
    <t>Entry EV / EBITDA Multiple</t>
  </si>
  <si>
    <t>Approximates current Tadawul trading multiple (EV/EBITDA)</t>
  </si>
  <si>
    <t>Transaction Fees (% of EV)</t>
  </si>
  <si>
    <t>Illustrative advisory/financing fee assumption</t>
  </si>
  <si>
    <t>Exit Year (Hold Period)</t>
  </si>
  <si>
    <t>Standard PE hold period</t>
  </si>
  <si>
    <t>Exit EV / EBITDA Multiple (Base Case)</t>
  </si>
  <si>
    <t>Base case assumes exit at entry multiple (no re-rating)</t>
  </si>
  <si>
    <t>Financing Assumptions</t>
  </si>
  <si>
    <t>Senior Term Loan (x FY2025A EBITDA)</t>
  </si>
  <si>
    <t>Sized to keep leverage moderate given already-rich entry price</t>
  </si>
  <si>
    <t>Term Loan Interest Rate (all-in)</t>
  </si>
  <si>
    <t>Illustrative SAIBOR + margin for SAR-denominated facility</t>
  </si>
  <si>
    <t>Mandatory Amortization (% of original balance p.a.)</t>
  </si>
  <si>
    <t>Typical covenant-lite TLB amortization</t>
  </si>
  <si>
    <t>Cash Sweep (% of excess FCF)</t>
  </si>
  <si>
    <t>Post mandatory amort., pre minimum cash</t>
  </si>
  <si>
    <t>Minimum Cash Balance</t>
  </si>
  <si>
    <t>Operating cash buffer retained, not swept</t>
  </si>
  <si>
    <t>Operating Assumptions</t>
  </si>
  <si>
    <t>Revenue Growth — Year 1</t>
  </si>
  <si>
    <t>Above trend; reflects post-close showroom expansion</t>
  </si>
  <si>
    <t>Revenue Growth — Year 2-5</t>
  </si>
  <si>
    <t>In line with analyst consensus (~3.6%-4.4% p.a.)</t>
  </si>
  <si>
    <t>EBITDA Margin (held flat, all years)</t>
  </si>
  <si>
    <t>Slightly above FY2025A 10.44% margin</t>
  </si>
  <si>
    <t>D&amp;A (% of Revenue)</t>
  </si>
  <si>
    <t>Asset-light retail model, low capex intensity</t>
  </si>
  <si>
    <t>Capex (% of Revenue)</t>
  </si>
  <si>
    <t>In line with historical capex/revenue</t>
  </si>
  <si>
    <t>Increase in NWC (% of Revenue growth)</t>
  </si>
  <si>
    <t>Inventory build funded partly by supplier credit</t>
  </si>
  <si>
    <t>Effective Tax Rate (Zakat)</t>
  </si>
  <si>
    <t>Reflects historical effective Zakat rate ~2.6%-3.0%</t>
  </si>
  <si>
    <t>Sources &amp; Uses of Funds (SAR mm)</t>
  </si>
  <si>
    <t>Sources</t>
  </si>
  <si>
    <t>Purchase Enterprise Value</t>
  </si>
  <si>
    <t>New Senior Term Loan</t>
  </si>
  <si>
    <t>Repay Existing Net Debt</t>
  </si>
  <si>
    <t>Sponsor Equity (plug)</t>
  </si>
  <si>
    <t>Transaction Fees &amp; Expenses</t>
  </si>
  <si>
    <t>Total Uses</t>
  </si>
  <si>
    <t>Total Sources</t>
  </si>
  <si>
    <t>Check (Sources - Uses)</t>
  </si>
  <si>
    <t>Implied Leverage &amp; Equity Metrics</t>
  </si>
  <si>
    <t>Total Debt / EBITDA (Entry)</t>
  </si>
  <si>
    <t>Equity Contribution (% of Total Sources)</t>
  </si>
  <si>
    <t>Entry EV / EBITDA</t>
  </si>
  <si>
    <t>Operating Model, Debt Schedule &amp; Free Cash Flow (SAR mm)</t>
  </si>
  <si>
    <t>Period</t>
  </si>
  <si>
    <t>FY2025A / At Close</t>
  </si>
  <si>
    <t>Year 1</t>
  </si>
  <si>
    <t>Year 2</t>
  </si>
  <si>
    <t>Year 3</t>
  </si>
  <si>
    <t>Year 4</t>
  </si>
  <si>
    <t>Year 5</t>
  </si>
  <si>
    <t>Operating Model</t>
  </si>
  <si>
    <t>Revenue</t>
  </si>
  <si>
    <t>Revenue Growth %</t>
  </si>
  <si>
    <t>EBITDA</t>
  </si>
  <si>
    <t>EBITDA Margin %</t>
  </si>
  <si>
    <t>D&amp;A</t>
  </si>
  <si>
    <t>EBIT</t>
  </si>
  <si>
    <t>Debt Schedule</t>
  </si>
  <si>
    <t>Beginning Debt Balance</t>
  </si>
  <si>
    <t>Interest Expense</t>
  </si>
  <si>
    <t>Mandatory Amortization</t>
  </si>
  <si>
    <t>Optional Cash Sweep</t>
  </si>
  <si>
    <t>Ending Debt Balance</t>
  </si>
  <si>
    <t>Free Cash Flow &amp; Cash Build</t>
  </si>
  <si>
    <t>EBT</t>
  </si>
  <si>
    <t>Taxes (Zakat)</t>
  </si>
  <si>
    <t>Net Income</t>
  </si>
  <si>
    <t>(+) D&amp;A</t>
  </si>
  <si>
    <t>(-) Capital Expenditures</t>
  </si>
  <si>
    <t>(-) Increase in NWC</t>
  </si>
  <si>
    <t>FCF before Debt Service</t>
  </si>
  <si>
    <t>(-) Mandatory Amortization</t>
  </si>
  <si>
    <t>Cash Available for Sweep</t>
  </si>
  <si>
    <t>(-) Optional Cash Sweep</t>
  </si>
  <si>
    <t>Cash Build (Retained)</t>
  </si>
  <si>
    <t>Beginning Cash Balance</t>
  </si>
  <si>
    <t>Ending Cash Balance</t>
  </si>
  <si>
    <t>Memo</t>
  </si>
  <si>
    <t>Net Debt (Ending Debt - Ending Cash)</t>
  </si>
  <si>
    <t>Total Debt / EBITDA</t>
  </si>
  <si>
    <t>Returns Analysis (Base Case) &amp; Sensitivity</t>
  </si>
  <si>
    <t>Base Case Exit (Year 5)</t>
  </si>
  <si>
    <t>Exit Year EBITDA</t>
  </si>
  <si>
    <t>Exit EV / EBITDA Multiple</t>
  </si>
  <si>
    <t>Exit Enterprise Value</t>
  </si>
  <si>
    <t>Less: Net Debt at Exit</t>
  </si>
  <si>
    <t>Exit Equity Value</t>
  </si>
  <si>
    <t>Sponsor Equity at Entry</t>
  </si>
  <si>
    <t>Hold Period (Years)</t>
  </si>
  <si>
    <t>MOIC (Exit Equity / Entry Equity)</t>
  </si>
  <si>
    <t>IRR</t>
  </si>
  <si>
    <t>Sensitivity Analysis — MOIC &amp; IRR by Exit Multiple and Entry Leverage</t>
  </si>
  <si>
    <t>Static snapshot computed by re-running the full model logic for each Exit Multiple / Leverage combination. To make this fully live in Excel, select the base-case MOIC/IRR cells above and use Data &gt; What-If Analysis &gt; Data Table, with Assumptions!B10 (Exit Multiple) as the row input and Assumptions!B13 (Term Loan x) as the column input.</t>
  </si>
  <si>
    <t>MOIC Grid</t>
  </si>
  <si>
    <t>Exit Mult. \ Leverage</t>
  </si>
  <si>
    <t>3.0x</t>
  </si>
  <si>
    <t>3.5x</t>
  </si>
  <si>
    <t>4.0x</t>
  </si>
  <si>
    <t>4.5x</t>
  </si>
  <si>
    <t>5.0x</t>
  </si>
  <si>
    <t>12.0x</t>
  </si>
  <si>
    <t>13.0x</t>
  </si>
  <si>
    <t>14.0x</t>
  </si>
  <si>
    <t>15.0x</t>
  </si>
  <si>
    <t>16.0x</t>
  </si>
  <si>
    <t>17.0x</t>
  </si>
  <si>
    <t>18.0x</t>
  </si>
  <si>
    <t>IRR Grid</t>
  </si>
  <si>
    <t>Key Takeaway</t>
  </si>
  <si>
    <t>At Jarir's current market multiple (~15x EV/EBITDA), returns are driven almost entirely by exit multiple assumptions, not leverage — the IRR barely moves across the 3.0x-5.0x leverage range at any given exit multiple, since higher debt reduces the equity check but is offset by higher interest expense against modest 4-5% revenue growth. This suggests Jarir, in its current form, is a weak buyout candidate without a credible path to margin expansion, M&amp;A-driven growth, or multiple re-rating at exit.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</si>
</sst>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\x"/>
    <numFmt numFmtId="166" formatCode="0.0%;\(0.0%\);\-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2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  <font>
      <sz val="10"/>
      <color rgb="FF008000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i/>
      <sz val="9"/>
      <color rgb="FF40404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2" fillId="0" borderId="0" xfId="0" applyFont="1" applyAlignment="1">
      <alignment vertical="top" wrapText="1"/>
    </xf>
    <xf numFmtId="0" fontId="8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0" fillId="2" borderId="0" xfId="0" applyFill="1"/>
    <xf numFmtId="164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166" fontId="7" fillId="0" borderId="0" xfId="0" applyNumberFormat="1" applyFont="1"/>
    <xf numFmtId="1" fontId="7" fillId="0" borderId="0" xfId="0" applyNumberFormat="1" applyFont="1"/>
    <xf numFmtId="164" fontId="9" fillId="0" borderId="0" xfId="0" applyNumberFormat="1" applyFont="1"/>
    <xf numFmtId="164" fontId="5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0" fontId="10" fillId="0" borderId="0" xfId="0" applyFont="1"/>
    <xf numFmtId="164" fontId="10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5" fontId="9" fillId="0" borderId="0" xfId="0" applyNumberFormat="1" applyFont="1"/>
    <xf numFmtId="0" fontId="11" fillId="3" borderId="0" xfId="0" applyFont="1" applyFill="1"/>
    <xf numFmtId="166" fontId="9" fillId="0" borderId="0" xfId="0" applyNumberFormat="1" applyFont="1"/>
    <xf numFmtId="164" fontId="5" fillId="0" borderId="2" xfId="0" applyNumberFormat="1" applyFont="1" applyBorder="1"/>
    <xf numFmtId="164" fontId="9" fillId="0" borderId="2" xfId="0" applyNumberFormat="1" applyFont="1" applyBorder="1"/>
    <xf numFmtId="0" fontId="0" fillId="0" borderId="2" xfId="0" applyBorder="1"/>
    <xf numFmtId="1" fontId="9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4" fillId="0" borderId="3" xfId="0" applyFont="1" applyBorder="1"/>
    <xf numFmtId="0" fontId="11" fillId="3" borderId="3" xfId="0" applyFont="1" applyFill="1" applyBorder="1"/>
    <xf numFmtId="165" fontId="5" fillId="0" borderId="3" xfId="0" applyNumberFormat="1" applyFont="1" applyBorder="1"/>
    <xf numFmtId="165" fontId="5" fillId="4" borderId="3" xfId="0" applyNumberFormat="1" applyFont="1" applyFill="1" applyBorder="1"/>
    <xf numFmtId="166" fontId="5" fillId="0" borderId="3" xfId="0" applyNumberFormat="1" applyFont="1" applyBorder="1"/>
    <xf numFmtId="166" fontId="5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showGridLines="0" zoomScaleNormal="100" workbookViewId="0">
      <selection activeCell="C6" sqref="C6"/>
    </sheetView>
  </sheetViews>
  <sheetFormatPr baseColWidth="10" defaultColWidth="8.6640625" defaultRowHeight="15" x14ac:dyDescent="0.2"/>
  <cols>
    <col min="1" max="1" width="4" customWidth="1"/>
    <col min="2" max="2" width="55" customWidth="1"/>
    <col min="3" max="3" width="30" customWidth="1"/>
  </cols>
  <sheetData>
    <row r="2" spans="2:2" ht="17.25" customHeight="1" x14ac:dyDescent="0.2">
      <c r="B2" s="3" t="s">
        <v>0</v>
      </c>
    </row>
    <row r="3" spans="2:2" ht="15" customHeight="1" x14ac:dyDescent="0.2">
      <c r="B3" s="4" t="s">
        <v>1</v>
      </c>
    </row>
    <row r="4" spans="2:2" ht="15" customHeight="1" x14ac:dyDescent="0.2">
      <c r="B4" s="5" t="s">
        <v>2</v>
      </c>
    </row>
    <row r="6" spans="2:2" ht="15" customHeight="1" x14ac:dyDescent="0.2">
      <c r="B6" s="6" t="s">
        <v>3</v>
      </c>
    </row>
    <row r="7" spans="2:2" ht="15" customHeight="1" x14ac:dyDescent="0.2">
      <c r="B7" s="7" t="s">
        <v>4</v>
      </c>
    </row>
    <row r="8" spans="2:2" ht="15" customHeight="1" x14ac:dyDescent="0.2">
      <c r="B8" s="7" t="s">
        <v>5</v>
      </c>
    </row>
    <row r="9" spans="2:2" ht="15" customHeight="1" x14ac:dyDescent="0.2">
      <c r="B9" s="7" t="s">
        <v>6</v>
      </c>
    </row>
    <row r="10" spans="2:2" ht="15" customHeight="1" x14ac:dyDescent="0.2">
      <c r="B10" s="7" t="s">
        <v>7</v>
      </c>
    </row>
    <row r="11" spans="2:2" ht="15" customHeight="1" x14ac:dyDescent="0.2">
      <c r="B11" s="7" t="s">
        <v>8</v>
      </c>
    </row>
    <row r="14" spans="2:2" ht="15" customHeight="1" x14ac:dyDescent="0.2">
      <c r="B14" s="6" t="s">
        <v>9</v>
      </c>
    </row>
    <row r="15" spans="2:2" ht="15" customHeight="1" x14ac:dyDescent="0.2">
      <c r="B15" s="8" t="s">
        <v>10</v>
      </c>
    </row>
    <row r="16" spans="2:2" ht="15" customHeight="1" x14ac:dyDescent="0.2">
      <c r="B16" s="8" t="s">
        <v>11</v>
      </c>
    </row>
    <row r="17" spans="2:2" ht="15" customHeight="1" x14ac:dyDescent="0.2">
      <c r="B17" s="8" t="s">
        <v>12</v>
      </c>
    </row>
    <row r="18" spans="2:2" ht="15" customHeight="1" x14ac:dyDescent="0.2">
      <c r="B18" s="8" t="s">
        <v>13</v>
      </c>
    </row>
    <row r="19" spans="2:2" ht="15" customHeight="1" x14ac:dyDescent="0.2">
      <c r="B19" s="8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zoomScaleNormal="100" workbookViewId="0"/>
  </sheetViews>
  <sheetFormatPr baseColWidth="10" defaultColWidth="8.6640625" defaultRowHeight="15" x14ac:dyDescent="0.2"/>
  <cols>
    <col min="1" max="1" width="42" customWidth="1"/>
    <col min="2" max="2" width="16" customWidth="1"/>
    <col min="3" max="3" width="40" customWidth="1"/>
  </cols>
  <sheetData>
    <row r="1" spans="1:3" ht="17.25" customHeight="1" x14ac:dyDescent="0.2">
      <c r="A1" s="3" t="s">
        <v>15</v>
      </c>
    </row>
    <row r="3" spans="1:3" ht="15" customHeight="1" x14ac:dyDescent="0.2">
      <c r="A3" s="9" t="s">
        <v>16</v>
      </c>
      <c r="B3" s="10"/>
      <c r="C3" s="10"/>
    </row>
    <row r="4" spans="1:3" ht="15" customHeight="1" x14ac:dyDescent="0.2">
      <c r="A4" s="7" t="s">
        <v>17</v>
      </c>
      <c r="B4" s="11">
        <v>11365</v>
      </c>
      <c r="C4" s="12" t="s">
        <v>18</v>
      </c>
    </row>
    <row r="5" spans="1:3" ht="15" customHeight="1" x14ac:dyDescent="0.2">
      <c r="A5" s="7" t="s">
        <v>19</v>
      </c>
      <c r="B5" s="11">
        <v>1186</v>
      </c>
      <c r="C5" s="12" t="s">
        <v>20</v>
      </c>
    </row>
    <row r="6" spans="1:3" ht="15" customHeight="1" x14ac:dyDescent="0.2">
      <c r="A6" s="7" t="s">
        <v>21</v>
      </c>
      <c r="B6" s="11">
        <v>621</v>
      </c>
      <c r="C6" s="12" t="s">
        <v>22</v>
      </c>
    </row>
    <row r="7" spans="1:3" ht="15" customHeight="1" x14ac:dyDescent="0.2">
      <c r="A7" s="7" t="s">
        <v>23</v>
      </c>
      <c r="B7" s="13">
        <v>15</v>
      </c>
      <c r="C7" s="12" t="s">
        <v>24</v>
      </c>
    </row>
    <row r="8" spans="1:3" ht="15" customHeight="1" x14ac:dyDescent="0.2">
      <c r="A8" s="7" t="s">
        <v>25</v>
      </c>
      <c r="B8" s="14">
        <v>0.02</v>
      </c>
      <c r="C8" s="12" t="s">
        <v>26</v>
      </c>
    </row>
    <row r="9" spans="1:3" ht="15" customHeight="1" x14ac:dyDescent="0.2">
      <c r="A9" s="7" t="s">
        <v>27</v>
      </c>
      <c r="B9" s="15">
        <v>5</v>
      </c>
      <c r="C9" s="12" t="s">
        <v>28</v>
      </c>
    </row>
    <row r="10" spans="1:3" ht="15" customHeight="1" x14ac:dyDescent="0.2">
      <c r="A10" s="7" t="s">
        <v>29</v>
      </c>
      <c r="B10" s="13">
        <v>15</v>
      </c>
      <c r="C10" s="12" t="s">
        <v>30</v>
      </c>
    </row>
    <row r="12" spans="1:3" ht="15" customHeight="1" x14ac:dyDescent="0.2">
      <c r="A12" s="9" t="s">
        <v>31</v>
      </c>
      <c r="B12" s="10"/>
      <c r="C12" s="10"/>
    </row>
    <row r="13" spans="1:3" ht="15" customHeight="1" x14ac:dyDescent="0.2">
      <c r="A13" s="7" t="s">
        <v>32</v>
      </c>
      <c r="B13" s="13">
        <v>4</v>
      </c>
      <c r="C13" s="12" t="s">
        <v>33</v>
      </c>
    </row>
    <row r="14" spans="1:3" ht="15" customHeight="1" x14ac:dyDescent="0.2">
      <c r="A14" s="7" t="s">
        <v>34</v>
      </c>
      <c r="B14" s="14">
        <v>8.5000000000000006E-2</v>
      </c>
      <c r="C14" s="12" t="s">
        <v>35</v>
      </c>
    </row>
    <row r="15" spans="1:3" ht="15" customHeight="1" x14ac:dyDescent="0.2">
      <c r="A15" s="7" t="s">
        <v>36</v>
      </c>
      <c r="B15" s="14">
        <v>0.01</v>
      </c>
      <c r="C15" s="12" t="s">
        <v>37</v>
      </c>
    </row>
    <row r="16" spans="1:3" ht="15" customHeight="1" x14ac:dyDescent="0.2">
      <c r="A16" s="7" t="s">
        <v>38</v>
      </c>
      <c r="B16" s="14">
        <v>0.75</v>
      </c>
      <c r="C16" s="12" t="s">
        <v>39</v>
      </c>
    </row>
    <row r="17" spans="1:3" ht="15" customHeight="1" x14ac:dyDescent="0.2">
      <c r="A17" s="7" t="s">
        <v>40</v>
      </c>
      <c r="B17" s="11">
        <v>200</v>
      </c>
      <c r="C17" s="12" t="s">
        <v>41</v>
      </c>
    </row>
    <row r="19" spans="1:3" ht="15" customHeight="1" x14ac:dyDescent="0.2">
      <c r="A19" s="9" t="s">
        <v>42</v>
      </c>
      <c r="B19" s="10"/>
      <c r="C19" s="10"/>
    </row>
    <row r="20" spans="1:3" ht="15" customHeight="1" x14ac:dyDescent="0.2">
      <c r="A20" s="7" t="s">
        <v>43</v>
      </c>
      <c r="B20" s="14">
        <v>0.05</v>
      </c>
      <c r="C20" s="12" t="s">
        <v>44</v>
      </c>
    </row>
    <row r="21" spans="1:3" ht="15" customHeight="1" x14ac:dyDescent="0.2">
      <c r="A21" s="7" t="s">
        <v>45</v>
      </c>
      <c r="B21" s="14">
        <v>0.04</v>
      </c>
      <c r="C21" s="12" t="s">
        <v>46</v>
      </c>
    </row>
    <row r="22" spans="1:3" ht="15" customHeight="1" x14ac:dyDescent="0.2">
      <c r="A22" s="7" t="s">
        <v>47</v>
      </c>
      <c r="B22" s="14">
        <v>0.105</v>
      </c>
      <c r="C22" s="12" t="s">
        <v>48</v>
      </c>
    </row>
    <row r="23" spans="1:3" ht="15" customHeight="1" x14ac:dyDescent="0.2">
      <c r="A23" s="7" t="s">
        <v>49</v>
      </c>
      <c r="B23" s="14">
        <v>6.0000000000000001E-3</v>
      </c>
      <c r="C23" s="12" t="s">
        <v>50</v>
      </c>
    </row>
    <row r="24" spans="1:3" ht="15" customHeight="1" x14ac:dyDescent="0.2">
      <c r="A24" s="7" t="s">
        <v>51</v>
      </c>
      <c r="B24" s="14">
        <v>0.01</v>
      </c>
      <c r="C24" s="12" t="s">
        <v>52</v>
      </c>
    </row>
    <row r="25" spans="1:3" ht="15" customHeight="1" x14ac:dyDescent="0.2">
      <c r="A25" s="7" t="s">
        <v>53</v>
      </c>
      <c r="B25" s="14">
        <v>0.08</v>
      </c>
      <c r="C25" s="12" t="s">
        <v>54</v>
      </c>
    </row>
    <row r="26" spans="1:3" ht="15" customHeight="1" x14ac:dyDescent="0.2">
      <c r="A26" s="7" t="s">
        <v>55</v>
      </c>
      <c r="B26" s="14">
        <v>0.03</v>
      </c>
      <c r="C26" s="12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>
      <selection activeCell="B6" sqref="B6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4" customWidth="1"/>
    <col min="4" max="4" width="38" customWidth="1"/>
    <col min="5" max="5" width="16" customWidth="1"/>
  </cols>
  <sheetData>
    <row r="1" spans="1:5" ht="17.25" customHeight="1" x14ac:dyDescent="0.2">
      <c r="A1" s="3" t="s">
        <v>57</v>
      </c>
    </row>
    <row r="3" spans="1:5" ht="15" customHeight="1" x14ac:dyDescent="0.2">
      <c r="A3" s="9" t="s">
        <v>58</v>
      </c>
      <c r="B3" s="10"/>
      <c r="D3" s="9" t="s">
        <v>58</v>
      </c>
    </row>
    <row r="4" spans="1:5" ht="15" customHeight="1" x14ac:dyDescent="0.2">
      <c r="A4" s="7" t="s">
        <v>59</v>
      </c>
      <c r="B4" s="16">
        <f>Assumptions!$B$5*Assumptions!$B$7</f>
        <v>17790</v>
      </c>
      <c r="D4" s="7" t="s">
        <v>60</v>
      </c>
      <c r="E4" s="16">
        <f>Assumptions!$B$5*Assumptions!$B$13</f>
        <v>4744</v>
      </c>
    </row>
    <row r="5" spans="1:5" ht="15" customHeight="1" x14ac:dyDescent="0.2">
      <c r="A5" s="7" t="s">
        <v>61</v>
      </c>
      <c r="B5" s="16">
        <f>Assumptions!$B$6</f>
        <v>621</v>
      </c>
      <c r="D5" s="7" t="s">
        <v>62</v>
      </c>
      <c r="E5" s="17">
        <f>B7-E4</f>
        <v>14022.8</v>
      </c>
    </row>
    <row r="6" spans="1:5" ht="15" customHeight="1" x14ac:dyDescent="0.2">
      <c r="A6" s="7" t="s">
        <v>63</v>
      </c>
      <c r="B6" s="17">
        <f>B4*Assumptions!$B$8</f>
        <v>355.8</v>
      </c>
    </row>
    <row r="7" spans="1:5" ht="15" customHeight="1" x14ac:dyDescent="0.2">
      <c r="A7" s="18" t="s">
        <v>64</v>
      </c>
      <c r="B7" s="19">
        <f>SUM(B4:B6)</f>
        <v>18766.8</v>
      </c>
      <c r="D7" s="18" t="s">
        <v>65</v>
      </c>
      <c r="E7" s="19">
        <f>SUM(E4:E6)</f>
        <v>18766.8</v>
      </c>
    </row>
    <row r="9" spans="1:5" ht="15" customHeight="1" x14ac:dyDescent="0.2">
      <c r="A9" s="20" t="s">
        <v>66</v>
      </c>
      <c r="B9" s="21">
        <f>E7-B7</f>
        <v>0</v>
      </c>
    </row>
    <row r="11" spans="1:5" ht="15" customHeight="1" x14ac:dyDescent="0.2">
      <c r="A11" s="9" t="s">
        <v>67</v>
      </c>
      <c r="B11" s="10"/>
    </row>
    <row r="12" spans="1:5" ht="15" customHeight="1" x14ac:dyDescent="0.2">
      <c r="A12" s="7" t="s">
        <v>68</v>
      </c>
      <c r="B12" s="22">
        <f>E4/Assumptions!$B$5</f>
        <v>4</v>
      </c>
    </row>
    <row r="13" spans="1:5" ht="15" customHeight="1" x14ac:dyDescent="0.2">
      <c r="A13" s="7" t="s">
        <v>69</v>
      </c>
      <c r="B13" s="23">
        <f>E5/E7</f>
        <v>0.74721316367201651</v>
      </c>
    </row>
    <row r="14" spans="1:5" ht="15" customHeight="1" x14ac:dyDescent="0.2">
      <c r="A14" s="7" t="s">
        <v>70</v>
      </c>
      <c r="B14" s="24">
        <f>Assumptions!$B$7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40" customWidth="1"/>
    <col min="2" max="7" width="13" customWidth="1"/>
  </cols>
  <sheetData>
    <row r="1" spans="1:7" ht="17.25" customHeight="1" x14ac:dyDescent="0.2">
      <c r="A1" s="3" t="s">
        <v>71</v>
      </c>
    </row>
    <row r="3" spans="1:7" ht="15" customHeight="1" x14ac:dyDescent="0.2">
      <c r="A3" s="25" t="s">
        <v>72</v>
      </c>
      <c r="B3" s="25" t="s">
        <v>73</v>
      </c>
      <c r="C3" s="25" t="s">
        <v>74</v>
      </c>
      <c r="D3" s="25" t="s">
        <v>75</v>
      </c>
      <c r="E3" s="25" t="s">
        <v>76</v>
      </c>
      <c r="F3" s="25" t="s">
        <v>77</v>
      </c>
      <c r="G3" s="25" t="s">
        <v>78</v>
      </c>
    </row>
    <row r="5" spans="1:7" ht="15" customHeight="1" x14ac:dyDescent="0.2">
      <c r="A5" s="9" t="s">
        <v>79</v>
      </c>
      <c r="B5" s="10"/>
      <c r="C5" s="10"/>
      <c r="D5" s="10"/>
      <c r="E5" s="10"/>
      <c r="F5" s="10"/>
      <c r="G5" s="10"/>
    </row>
    <row r="6" spans="1:7" ht="15" customHeight="1" x14ac:dyDescent="0.2">
      <c r="A6" t="s">
        <v>80</v>
      </c>
      <c r="B6" s="16">
        <f>Assumptions!$B$4</f>
        <v>11365</v>
      </c>
      <c r="C6" s="17">
        <f>B6*(1+Assumptions!$B$20)</f>
        <v>11933.25</v>
      </c>
      <c r="D6" s="17">
        <f>C6*(1+Assumptions!$B$21)</f>
        <v>12410.58</v>
      </c>
      <c r="E6" s="17">
        <f>D6*(1+Assumptions!$B$21)</f>
        <v>12907.003200000001</v>
      </c>
      <c r="F6" s="17">
        <f>E6*(1+Assumptions!$B$21)</f>
        <v>13423.283328000001</v>
      </c>
      <c r="G6" s="17">
        <f>F6*(1+Assumptions!$B$21)</f>
        <v>13960.214661120002</v>
      </c>
    </row>
    <row r="7" spans="1:7" ht="15" customHeight="1" x14ac:dyDescent="0.2">
      <c r="A7" t="s">
        <v>81</v>
      </c>
      <c r="B7" s="26"/>
      <c r="C7" s="26">
        <f>Assumptions!$B$20</f>
        <v>0.05</v>
      </c>
      <c r="D7" s="26">
        <f>Assumptions!$B$21</f>
        <v>0.04</v>
      </c>
      <c r="E7" s="26">
        <f>Assumptions!$B$21</f>
        <v>0.04</v>
      </c>
      <c r="F7" s="26">
        <f>Assumptions!$B$21</f>
        <v>0.04</v>
      </c>
      <c r="G7" s="26">
        <f>Assumptions!$B$21</f>
        <v>0.04</v>
      </c>
    </row>
    <row r="8" spans="1:7" ht="15" customHeight="1" x14ac:dyDescent="0.2">
      <c r="A8" t="s">
        <v>82</v>
      </c>
      <c r="B8" s="16">
        <f>Assumptions!$B$5</f>
        <v>1186</v>
      </c>
      <c r="C8" s="17">
        <f>C6*Assumptions!$B$22</f>
        <v>1252.99125</v>
      </c>
      <c r="D8" s="17">
        <f>D6*Assumptions!$B$22</f>
        <v>1303.1108999999999</v>
      </c>
      <c r="E8" s="17">
        <f>E6*Assumptions!$B$22</f>
        <v>1355.235336</v>
      </c>
      <c r="F8" s="17">
        <f>F6*Assumptions!$B$22</f>
        <v>1409.4447494400001</v>
      </c>
      <c r="G8" s="17">
        <f>G6*Assumptions!$B$22</f>
        <v>1465.8225394176002</v>
      </c>
    </row>
    <row r="9" spans="1:7" ht="15" customHeight="1" x14ac:dyDescent="0.2">
      <c r="A9" t="s">
        <v>83</v>
      </c>
      <c r="B9" s="23">
        <f t="shared" ref="B9:G9" si="0">B8/B6</f>
        <v>0.10435547734271887</v>
      </c>
      <c r="C9" s="23">
        <f t="shared" si="0"/>
        <v>0.105</v>
      </c>
      <c r="D9" s="23">
        <f t="shared" si="0"/>
        <v>0.105</v>
      </c>
      <c r="E9" s="23">
        <f t="shared" si="0"/>
        <v>0.10499999999999998</v>
      </c>
      <c r="F9" s="23">
        <f t="shared" si="0"/>
        <v>0.105</v>
      </c>
      <c r="G9" s="23">
        <f t="shared" si="0"/>
        <v>0.105</v>
      </c>
    </row>
    <row r="10" spans="1:7" ht="15" customHeight="1" x14ac:dyDescent="0.2">
      <c r="A10" t="s">
        <v>84</v>
      </c>
      <c r="B10" s="11">
        <v>61.46</v>
      </c>
      <c r="C10" s="17">
        <f>C6*Assumptions!$B$23</f>
        <v>71.599500000000006</v>
      </c>
      <c r="D10" s="17">
        <f>D6*Assumptions!$B$23</f>
        <v>74.463480000000004</v>
      </c>
      <c r="E10" s="17">
        <f>E6*Assumptions!$B$23</f>
        <v>77.442019200000004</v>
      </c>
      <c r="F10" s="17">
        <f>F6*Assumptions!$B$23</f>
        <v>80.539699968000008</v>
      </c>
      <c r="G10" s="17">
        <f>G6*Assumptions!$B$23</f>
        <v>83.761287966720019</v>
      </c>
    </row>
    <row r="11" spans="1:7" ht="15" customHeight="1" x14ac:dyDescent="0.2">
      <c r="A11" t="s">
        <v>85</v>
      </c>
      <c r="B11" s="27">
        <f t="shared" ref="B11:G11" si="1">B8-B10</f>
        <v>1124.54</v>
      </c>
      <c r="C11" s="27">
        <f t="shared" si="1"/>
        <v>1181.39175</v>
      </c>
      <c r="D11" s="27">
        <f t="shared" si="1"/>
        <v>1228.6474199999998</v>
      </c>
      <c r="E11" s="27">
        <f t="shared" si="1"/>
        <v>1277.7933168</v>
      </c>
      <c r="F11" s="27">
        <f t="shared" si="1"/>
        <v>1328.9050494720002</v>
      </c>
      <c r="G11" s="27">
        <f t="shared" si="1"/>
        <v>1382.0612514508803</v>
      </c>
    </row>
    <row r="13" spans="1:7" ht="15" customHeight="1" x14ac:dyDescent="0.2">
      <c r="A13" s="9" t="s">
        <v>86</v>
      </c>
      <c r="B13" s="10"/>
      <c r="C13" s="10"/>
      <c r="D13" s="10"/>
      <c r="E13" s="10"/>
      <c r="F13" s="10"/>
      <c r="G13" s="10"/>
    </row>
    <row r="14" spans="1:7" ht="15" customHeight="1" x14ac:dyDescent="0.2">
      <c r="A14" t="s">
        <v>87</v>
      </c>
      <c r="C14" s="17">
        <f>'Sources &amp; Uses'!$E$4</f>
        <v>4744</v>
      </c>
      <c r="D14" s="17">
        <f>C18</f>
        <v>4200.3493518750001</v>
      </c>
      <c r="E14" s="17">
        <f>D18</f>
        <v>3584.6789968715711</v>
      </c>
      <c r="F14" s="17">
        <f>E18</f>
        <v>2897.8183479686168</v>
      </c>
      <c r="G14" s="17">
        <f>F18</f>
        <v>2134.0404242342456</v>
      </c>
    </row>
    <row r="15" spans="1:7" ht="15" customHeight="1" x14ac:dyDescent="0.2">
      <c r="A15" t="s">
        <v>88</v>
      </c>
      <c r="C15" s="17">
        <f>C14*Assumptions!$B$14</f>
        <v>403.24</v>
      </c>
      <c r="D15" s="17">
        <f>D14*Assumptions!$B$14</f>
        <v>357.02969490937505</v>
      </c>
      <c r="E15" s="17">
        <f>E14*Assumptions!$B$14</f>
        <v>304.69771473408355</v>
      </c>
      <c r="F15" s="17">
        <f>F14*Assumptions!$B$14</f>
        <v>246.31455957733243</v>
      </c>
      <c r="G15" s="17">
        <f>G14*Assumptions!$B$14</f>
        <v>181.3934360599109</v>
      </c>
    </row>
    <row r="16" spans="1:7" ht="15" customHeight="1" x14ac:dyDescent="0.2">
      <c r="A16" t="s">
        <v>89</v>
      </c>
      <c r="C16" s="17">
        <f>MIN(C14,'Sources &amp; Uses'!$E$4*Assumptions!$B$15)</f>
        <v>47.44</v>
      </c>
      <c r="D16" s="17">
        <f>MIN(D14,'Sources &amp; Uses'!$E$4*Assumptions!$B$15)</f>
        <v>47.44</v>
      </c>
      <c r="E16" s="17">
        <f>MIN(E14,'Sources &amp; Uses'!$E$4*Assumptions!$B$15)</f>
        <v>47.44</v>
      </c>
      <c r="F16" s="17">
        <f>MIN(F14,'Sources &amp; Uses'!$E$4*Assumptions!$B$15)</f>
        <v>47.44</v>
      </c>
      <c r="G16" s="17">
        <f>MIN(G14,'Sources &amp; Uses'!$E$4*Assumptions!$B$15)</f>
        <v>47.44</v>
      </c>
    </row>
    <row r="17" spans="1:7" ht="15" customHeight="1" x14ac:dyDescent="0.2">
      <c r="A17" t="s">
        <v>90</v>
      </c>
      <c r="C17" s="17">
        <f>MAX(MIN(C27*Assumptions!$B$16,C14-C16),0)</f>
        <v>496.21064812500003</v>
      </c>
      <c r="D17" s="17">
        <f>MAX(MIN(D27*Assumptions!$B$16,D14-D16),0)</f>
        <v>568.23035500342939</v>
      </c>
      <c r="E17" s="17">
        <f>MAX(MIN(E27*Assumptions!$B$16,E14-E16),0)</f>
        <v>639.4206489029541</v>
      </c>
      <c r="F17" s="17">
        <f>MAX(MIN(F27*Assumptions!$B$16,F14-F16),0)</f>
        <v>716.33792373437086</v>
      </c>
      <c r="G17" s="17">
        <f>MAX(MIN(G27*Assumptions!$B$16,G14-G16),0)</f>
        <v>799.38931172637012</v>
      </c>
    </row>
    <row r="18" spans="1:7" ht="15" customHeight="1" x14ac:dyDescent="0.2">
      <c r="A18" t="s">
        <v>91</v>
      </c>
      <c r="B18" s="28">
        <f>'Sources &amp; Uses'!$E$4</f>
        <v>4744</v>
      </c>
      <c r="C18" s="27">
        <f>C14-C16-C17</f>
        <v>4200.3493518750001</v>
      </c>
      <c r="D18" s="27">
        <f>D14-D16-D17</f>
        <v>3584.6789968715711</v>
      </c>
      <c r="E18" s="27">
        <f>E14-E16-E17</f>
        <v>2897.8183479686168</v>
      </c>
      <c r="F18" s="27">
        <f>F14-F16-F17</f>
        <v>2134.0404242342456</v>
      </c>
      <c r="G18" s="27">
        <f>G14-G16-G17</f>
        <v>1287.2111125078754</v>
      </c>
    </row>
    <row r="20" spans="1:7" ht="15" customHeight="1" x14ac:dyDescent="0.2">
      <c r="A20" s="9" t="s">
        <v>92</v>
      </c>
      <c r="B20" s="10"/>
      <c r="C20" s="10"/>
      <c r="D20" s="10"/>
      <c r="E20" s="10"/>
      <c r="F20" s="10"/>
      <c r="G20" s="10"/>
    </row>
    <row r="21" spans="1:7" ht="15" customHeight="1" x14ac:dyDescent="0.2">
      <c r="A21" t="s">
        <v>93</v>
      </c>
      <c r="C21" s="17">
        <f>C11-C15</f>
        <v>778.15174999999999</v>
      </c>
      <c r="D21" s="17">
        <f>D11-D15</f>
        <v>871.61772509062473</v>
      </c>
      <c r="E21" s="17">
        <f>E11-E15</f>
        <v>973.09560206591641</v>
      </c>
      <c r="F21" s="17">
        <f>F11-F15</f>
        <v>1082.5904898946678</v>
      </c>
      <c r="G21" s="17">
        <f>G11-G15</f>
        <v>1200.6678153909693</v>
      </c>
    </row>
    <row r="22" spans="1:7" ht="15" customHeight="1" x14ac:dyDescent="0.2">
      <c r="A22" t="s">
        <v>94</v>
      </c>
      <c r="C22" s="17">
        <f>MAX(C21,0)*Assumptions!$B$26</f>
        <v>23.344552499999999</v>
      </c>
      <c r="D22" s="17">
        <f>MAX(D21,0)*Assumptions!$B$26</f>
        <v>26.148531752718743</v>
      </c>
      <c r="E22" s="17">
        <f>MAX(E21,0)*Assumptions!$B$26</f>
        <v>29.192868061977492</v>
      </c>
      <c r="F22" s="17">
        <f>MAX(F21,0)*Assumptions!$B$26</f>
        <v>32.477714696840032</v>
      </c>
      <c r="G22" s="17">
        <f>MAX(G21,0)*Assumptions!$B$26</f>
        <v>36.020034461729075</v>
      </c>
    </row>
    <row r="23" spans="1:7" ht="15" customHeight="1" x14ac:dyDescent="0.2">
      <c r="A23" t="s">
        <v>95</v>
      </c>
      <c r="C23" s="27">
        <f>C21-C22</f>
        <v>754.80719750000003</v>
      </c>
      <c r="D23" s="27">
        <f>D21-D22</f>
        <v>845.46919333790595</v>
      </c>
      <c r="E23" s="27">
        <f>E21-E22</f>
        <v>943.90273400393892</v>
      </c>
      <c r="F23" s="27">
        <f>F21-F22</f>
        <v>1050.1127751978279</v>
      </c>
      <c r="G23" s="27">
        <f>G21-G22</f>
        <v>1164.6477809292403</v>
      </c>
    </row>
    <row r="24" spans="1:7" ht="15" customHeight="1" x14ac:dyDescent="0.2">
      <c r="A24" t="s">
        <v>96</v>
      </c>
      <c r="C24" s="17">
        <f>C10</f>
        <v>71.599500000000006</v>
      </c>
      <c r="D24" s="17">
        <f>D10</f>
        <v>74.463480000000004</v>
      </c>
      <c r="E24" s="17">
        <f>E10</f>
        <v>77.442019200000004</v>
      </c>
      <c r="F24" s="17">
        <f>F10</f>
        <v>80.539699968000008</v>
      </c>
      <c r="G24" s="17">
        <f>G10</f>
        <v>83.761287966720019</v>
      </c>
    </row>
    <row r="25" spans="1:7" ht="15" customHeight="1" x14ac:dyDescent="0.2">
      <c r="A25" t="s">
        <v>97</v>
      </c>
      <c r="C25" s="17">
        <f>C6*Assumptions!$B$24</f>
        <v>119.3325</v>
      </c>
      <c r="D25" s="17">
        <f>D6*Assumptions!$B$24</f>
        <v>124.1058</v>
      </c>
      <c r="E25" s="17">
        <f>E6*Assumptions!$B$24</f>
        <v>129.07003200000003</v>
      </c>
      <c r="F25" s="17">
        <f>F6*Assumptions!$B$24</f>
        <v>134.23283328000002</v>
      </c>
      <c r="G25" s="17">
        <f>G6*Assumptions!$B$24</f>
        <v>139.60214661120003</v>
      </c>
    </row>
    <row r="26" spans="1:7" ht="15" customHeight="1" x14ac:dyDescent="0.2">
      <c r="A26" t="s">
        <v>98</v>
      </c>
      <c r="C26" s="17">
        <f>Assumptions!$B$25*(C6-B6)</f>
        <v>45.46</v>
      </c>
      <c r="D26" s="17">
        <f>Assumptions!$B$25*(D6-C6)</f>
        <v>38.186399999999992</v>
      </c>
      <c r="E26" s="17">
        <f>Assumptions!$B$25*(E6-D6)</f>
        <v>39.713856000000085</v>
      </c>
      <c r="F26" s="17">
        <f>Assumptions!$B$25*(F6-E6)</f>
        <v>41.302410240000029</v>
      </c>
      <c r="G26" s="17">
        <f>Assumptions!$B$25*(G6-F6)</f>
        <v>42.954506649600084</v>
      </c>
    </row>
    <row r="27" spans="1:7" ht="15" customHeight="1" x14ac:dyDescent="0.2">
      <c r="A27" t="s">
        <v>99</v>
      </c>
      <c r="C27" s="27">
        <f>C23+C24-C25-C26</f>
        <v>661.61419750000005</v>
      </c>
      <c r="D27" s="27">
        <f>D23+D24-D25-D26</f>
        <v>757.64047333790586</v>
      </c>
      <c r="E27" s="27">
        <f>E23+E24-E25-E26</f>
        <v>852.56086520393887</v>
      </c>
      <c r="F27" s="27">
        <f>F23+F24-F25-F26</f>
        <v>955.11723164582781</v>
      </c>
      <c r="G27" s="27">
        <f>G23+G24-G25-G26</f>
        <v>1065.8524156351602</v>
      </c>
    </row>
    <row r="28" spans="1:7" ht="15" customHeight="1" x14ac:dyDescent="0.2">
      <c r="A28" t="s">
        <v>100</v>
      </c>
      <c r="C28" s="17">
        <f>C16</f>
        <v>47.44</v>
      </c>
      <c r="D28" s="17">
        <f>D16</f>
        <v>47.44</v>
      </c>
      <c r="E28" s="17">
        <f>E16</f>
        <v>47.44</v>
      </c>
      <c r="F28" s="17">
        <f>F16</f>
        <v>47.44</v>
      </c>
      <c r="G28" s="17">
        <f>G16</f>
        <v>47.44</v>
      </c>
    </row>
    <row r="29" spans="1:7" ht="15" customHeight="1" x14ac:dyDescent="0.2">
      <c r="A29" t="s">
        <v>101</v>
      </c>
      <c r="C29" s="17">
        <f>C27-C28</f>
        <v>614.17419749999999</v>
      </c>
      <c r="D29" s="17">
        <f>D27-D28</f>
        <v>710.20047333790581</v>
      </c>
      <c r="E29" s="17">
        <f>E27-E28</f>
        <v>805.12086520393882</v>
      </c>
      <c r="F29" s="17">
        <f>F27-F28</f>
        <v>907.67723164582776</v>
      </c>
      <c r="G29" s="17">
        <f>G27-G28</f>
        <v>1018.4124156351602</v>
      </c>
    </row>
    <row r="30" spans="1:7" ht="15" customHeight="1" x14ac:dyDescent="0.2">
      <c r="A30" t="s">
        <v>102</v>
      </c>
      <c r="C30" s="17">
        <f>C17</f>
        <v>496.21064812500003</v>
      </c>
      <c r="D30" s="17">
        <f>D17</f>
        <v>568.23035500342939</v>
      </c>
      <c r="E30" s="17">
        <f>E17</f>
        <v>639.4206489029541</v>
      </c>
      <c r="F30" s="17">
        <f>F17</f>
        <v>716.33792373437086</v>
      </c>
      <c r="G30" s="17">
        <f>G17</f>
        <v>799.38931172637012</v>
      </c>
    </row>
    <row r="31" spans="1:7" ht="15" customHeight="1" x14ac:dyDescent="0.2">
      <c r="A31" t="s">
        <v>103</v>
      </c>
      <c r="C31" s="17">
        <f>C29-C30</f>
        <v>117.96354937499996</v>
      </c>
      <c r="D31" s="17">
        <f>D29-D30</f>
        <v>141.97011833447641</v>
      </c>
      <c r="E31" s="17">
        <f>E29-E30</f>
        <v>165.70021630098472</v>
      </c>
      <c r="F31" s="17">
        <f>F29-F30</f>
        <v>191.3393079114569</v>
      </c>
      <c r="G31" s="17">
        <f>G29-G30</f>
        <v>219.02310390879006</v>
      </c>
    </row>
    <row r="32" spans="1:7" ht="15" customHeight="1" x14ac:dyDescent="0.2">
      <c r="A32" t="s">
        <v>104</v>
      </c>
      <c r="C32" s="17">
        <f>B33</f>
        <v>0</v>
      </c>
      <c r="D32" s="17">
        <f>C33</f>
        <v>117.96354937499996</v>
      </c>
      <c r="E32" s="17">
        <f>D33</f>
        <v>259.93366770947637</v>
      </c>
      <c r="F32" s="17">
        <f>E33</f>
        <v>425.63388401046109</v>
      </c>
      <c r="G32" s="17">
        <f>F33</f>
        <v>616.97319192191799</v>
      </c>
    </row>
    <row r="33" spans="1:7" ht="15" customHeight="1" x14ac:dyDescent="0.2">
      <c r="A33" t="s">
        <v>105</v>
      </c>
      <c r="B33" s="11">
        <v>0</v>
      </c>
      <c r="C33" s="27">
        <f>C32+C31</f>
        <v>117.96354937499996</v>
      </c>
      <c r="D33" s="27">
        <f>D32+D31</f>
        <v>259.93366770947637</v>
      </c>
      <c r="E33" s="27">
        <f>E32+E31</f>
        <v>425.63388401046109</v>
      </c>
      <c r="F33" s="27">
        <f>F32+F31</f>
        <v>616.97319192191799</v>
      </c>
      <c r="G33" s="27">
        <f>G32+G31</f>
        <v>835.99629583070805</v>
      </c>
    </row>
    <row r="35" spans="1:7" ht="15" customHeight="1" x14ac:dyDescent="0.2">
      <c r="A35" s="9" t="s">
        <v>106</v>
      </c>
      <c r="B35" s="10"/>
      <c r="C35" s="10"/>
      <c r="D35" s="10"/>
      <c r="E35" s="10"/>
      <c r="F35" s="10"/>
      <c r="G35" s="10"/>
    </row>
    <row r="36" spans="1:7" ht="15" customHeight="1" x14ac:dyDescent="0.2">
      <c r="A36" t="s">
        <v>107</v>
      </c>
      <c r="B36" s="17">
        <f t="shared" ref="B36:G36" si="2">B18-B33</f>
        <v>4744</v>
      </c>
      <c r="C36" s="17">
        <f t="shared" si="2"/>
        <v>4082.3858025</v>
      </c>
      <c r="D36" s="17">
        <f t="shared" si="2"/>
        <v>3324.745329162095</v>
      </c>
      <c r="E36" s="17">
        <f t="shared" si="2"/>
        <v>2472.1844639581559</v>
      </c>
      <c r="F36" s="17">
        <f t="shared" si="2"/>
        <v>1517.0672323123276</v>
      </c>
      <c r="G36" s="17">
        <f t="shared" si="2"/>
        <v>451.21481667716739</v>
      </c>
    </row>
    <row r="37" spans="1:7" ht="15" customHeight="1" x14ac:dyDescent="0.2">
      <c r="A37" t="s">
        <v>108</v>
      </c>
      <c r="B37" s="22">
        <f t="shared" ref="B37:G37" si="3">B18/B8</f>
        <v>4</v>
      </c>
      <c r="C37" s="22">
        <f t="shared" si="3"/>
        <v>3.3522575292325465</v>
      </c>
      <c r="D37" s="22">
        <f t="shared" si="3"/>
        <v>2.7508625680834773</v>
      </c>
      <c r="E37" s="22">
        <f t="shared" si="3"/>
        <v>2.1382399580294127</v>
      </c>
      <c r="F37" s="22">
        <f t="shared" si="3"/>
        <v>1.5141000916014207</v>
      </c>
      <c r="G37" s="22">
        <f t="shared" si="3"/>
        <v>0.87814935157110452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showGridLines="0" tabSelected="1" zoomScaleNormal="100" workbookViewId="0"/>
  </sheetViews>
  <sheetFormatPr baseColWidth="10" defaultColWidth="8.6640625" defaultRowHeight="15" x14ac:dyDescent="0.2"/>
  <cols>
    <col min="1" max="1" width="34" customWidth="1"/>
    <col min="2" max="8" width="12" customWidth="1"/>
  </cols>
  <sheetData>
    <row r="1" spans="1:2" ht="17.25" customHeight="1" x14ac:dyDescent="0.2">
      <c r="A1" s="3" t="s">
        <v>109</v>
      </c>
    </row>
    <row r="3" spans="1:2" ht="15" customHeight="1" x14ac:dyDescent="0.2">
      <c r="A3" s="9" t="s">
        <v>110</v>
      </c>
      <c r="B3" s="10"/>
    </row>
    <row r="4" spans="1:2" ht="15" customHeight="1" x14ac:dyDescent="0.2">
      <c r="A4" t="s">
        <v>111</v>
      </c>
      <c r="B4" s="16">
        <f>'Operating Model &amp; Debt Schedule'!G8</f>
        <v>1465.8225394176002</v>
      </c>
    </row>
    <row r="5" spans="1:2" ht="15" customHeight="1" x14ac:dyDescent="0.2">
      <c r="A5" t="s">
        <v>112</v>
      </c>
      <c r="B5" s="24">
        <f>Assumptions!$B$10</f>
        <v>15</v>
      </c>
    </row>
    <row r="6" spans="1:2" ht="15" customHeight="1" x14ac:dyDescent="0.2">
      <c r="A6" t="s">
        <v>113</v>
      </c>
      <c r="B6" s="17">
        <f>B4*B5</f>
        <v>21987.338091264002</v>
      </c>
    </row>
    <row r="7" spans="1:2" ht="15" customHeight="1" x14ac:dyDescent="0.2">
      <c r="A7" t="s">
        <v>114</v>
      </c>
      <c r="B7" s="16">
        <f>'Operating Model &amp; Debt Schedule'!G36</f>
        <v>451.21481667716739</v>
      </c>
    </row>
    <row r="8" spans="1:2" ht="15" customHeight="1" x14ac:dyDescent="0.2">
      <c r="A8" s="29" t="s">
        <v>115</v>
      </c>
      <c r="B8" s="27">
        <f>B6-B7</f>
        <v>21536.123274586836</v>
      </c>
    </row>
    <row r="10" spans="1:2" ht="15" customHeight="1" x14ac:dyDescent="0.2">
      <c r="A10" t="s">
        <v>116</v>
      </c>
      <c r="B10" s="16">
        <f>'Sources &amp; Uses'!$E$5</f>
        <v>14022.8</v>
      </c>
    </row>
    <row r="11" spans="1:2" ht="15" customHeight="1" x14ac:dyDescent="0.2">
      <c r="A11" t="s">
        <v>117</v>
      </c>
      <c r="B11" s="30">
        <f>Assumptions!$B$9</f>
        <v>5</v>
      </c>
    </row>
    <row r="13" spans="1:2" ht="15" customHeight="1" x14ac:dyDescent="0.2">
      <c r="A13" t="s">
        <v>118</v>
      </c>
      <c r="B13" s="31">
        <f>B8/B10</f>
        <v>1.5357933704101063</v>
      </c>
    </row>
    <row r="14" spans="1:2" ht="15" customHeight="1" x14ac:dyDescent="0.2">
      <c r="A14" t="s">
        <v>119</v>
      </c>
      <c r="B14" s="32">
        <f>(B13)^(1/B11)-1</f>
        <v>8.959865306740955E-2</v>
      </c>
    </row>
    <row r="17" spans="1:8" ht="15" customHeight="1" x14ac:dyDescent="0.2">
      <c r="A17" s="6" t="s">
        <v>120</v>
      </c>
    </row>
    <row r="18" spans="1:8" ht="15" customHeight="1" x14ac:dyDescent="0.2">
      <c r="A18" s="2" t="s">
        <v>121</v>
      </c>
      <c r="B18" s="2"/>
      <c r="C18" s="2"/>
      <c r="D18" s="2"/>
      <c r="E18" s="2"/>
      <c r="F18" s="2"/>
      <c r="G18" s="2"/>
      <c r="H18" s="2"/>
    </row>
    <row r="20" spans="1:8" ht="15" customHeight="1" x14ac:dyDescent="0.2">
      <c r="A20" s="9" t="s">
        <v>122</v>
      </c>
      <c r="B20" s="10"/>
      <c r="C20" s="10"/>
      <c r="D20" s="10"/>
      <c r="E20" s="10"/>
      <c r="F20" s="10"/>
    </row>
    <row r="21" spans="1:8" ht="15" customHeight="1" x14ac:dyDescent="0.2">
      <c r="A21" s="33" t="s">
        <v>123</v>
      </c>
      <c r="B21" s="34" t="s">
        <v>124</v>
      </c>
      <c r="C21" s="34" t="s">
        <v>125</v>
      </c>
      <c r="D21" s="34" t="s">
        <v>126</v>
      </c>
      <c r="E21" s="34" t="s">
        <v>127</v>
      </c>
      <c r="F21" s="34" t="s">
        <v>128</v>
      </c>
    </row>
    <row r="22" spans="1:8" ht="15" customHeight="1" x14ac:dyDescent="0.2">
      <c r="A22" s="34" t="s">
        <v>129</v>
      </c>
      <c r="B22" s="35">
        <v>1.24</v>
      </c>
      <c r="C22" s="35">
        <v>1.23</v>
      </c>
      <c r="D22" s="35">
        <v>1.22</v>
      </c>
      <c r="E22" s="35">
        <v>1.21</v>
      </c>
      <c r="F22" s="35">
        <v>1.2</v>
      </c>
    </row>
    <row r="23" spans="1:8" ht="15" customHeight="1" x14ac:dyDescent="0.2">
      <c r="A23" s="34" t="s">
        <v>130</v>
      </c>
      <c r="B23" s="35">
        <v>1.34</v>
      </c>
      <c r="C23" s="35">
        <v>1.33</v>
      </c>
      <c r="D23" s="35">
        <v>1.32</v>
      </c>
      <c r="E23" s="35">
        <v>1.32</v>
      </c>
      <c r="F23" s="35">
        <v>1.31</v>
      </c>
    </row>
    <row r="24" spans="1:8" ht="15" customHeight="1" x14ac:dyDescent="0.2">
      <c r="A24" s="34" t="s">
        <v>131</v>
      </c>
      <c r="B24" s="35">
        <v>1.43</v>
      </c>
      <c r="C24" s="35">
        <v>1.43</v>
      </c>
      <c r="D24" s="35">
        <v>1.43</v>
      </c>
      <c r="E24" s="35">
        <v>1.43</v>
      </c>
      <c r="F24" s="35">
        <v>1.43</v>
      </c>
    </row>
    <row r="25" spans="1:8" ht="15" customHeight="1" x14ac:dyDescent="0.2">
      <c r="A25" s="34" t="s">
        <v>132</v>
      </c>
      <c r="B25" s="35">
        <v>1.53</v>
      </c>
      <c r="C25" s="35">
        <v>1.53</v>
      </c>
      <c r="D25" s="36">
        <v>1.53</v>
      </c>
      <c r="E25" s="35">
        <v>1.54</v>
      </c>
      <c r="F25" s="35">
        <v>1.54</v>
      </c>
    </row>
    <row r="26" spans="1:8" ht="15" customHeight="1" x14ac:dyDescent="0.2">
      <c r="A26" s="34" t="s">
        <v>133</v>
      </c>
      <c r="B26" s="35">
        <v>1.62</v>
      </c>
      <c r="C26" s="35">
        <v>1.63</v>
      </c>
      <c r="D26" s="35">
        <v>1.64</v>
      </c>
      <c r="E26" s="35">
        <v>1.65</v>
      </c>
      <c r="F26" s="35">
        <v>1.65</v>
      </c>
    </row>
    <row r="27" spans="1:8" ht="15" customHeight="1" x14ac:dyDescent="0.2">
      <c r="A27" s="34" t="s">
        <v>134</v>
      </c>
      <c r="B27" s="35">
        <v>1.72</v>
      </c>
      <c r="C27" s="35">
        <v>1.73</v>
      </c>
      <c r="D27" s="35">
        <v>1.74</v>
      </c>
      <c r="E27" s="35">
        <v>1.75</v>
      </c>
      <c r="F27" s="35">
        <v>1.77</v>
      </c>
    </row>
    <row r="28" spans="1:8" ht="15" customHeight="1" x14ac:dyDescent="0.2">
      <c r="A28" s="34" t="s">
        <v>135</v>
      </c>
      <c r="B28" s="35">
        <v>1.82</v>
      </c>
      <c r="C28" s="35">
        <v>1.83</v>
      </c>
      <c r="D28" s="35">
        <v>1.85</v>
      </c>
      <c r="E28" s="35">
        <v>1.86</v>
      </c>
      <c r="F28" s="35">
        <v>1.88</v>
      </c>
    </row>
    <row r="31" spans="1:8" ht="15" customHeight="1" x14ac:dyDescent="0.2">
      <c r="A31" s="9" t="s">
        <v>136</v>
      </c>
      <c r="B31" s="10"/>
      <c r="C31" s="10"/>
      <c r="D31" s="10"/>
      <c r="E31" s="10"/>
      <c r="F31" s="10"/>
    </row>
    <row r="32" spans="1:8" ht="15" customHeight="1" x14ac:dyDescent="0.2">
      <c r="A32" s="33" t="s">
        <v>123</v>
      </c>
      <c r="B32" s="34" t="s">
        <v>124</v>
      </c>
      <c r="C32" s="34" t="s">
        <v>125</v>
      </c>
      <c r="D32" s="34" t="s">
        <v>126</v>
      </c>
      <c r="E32" s="34" t="s">
        <v>127</v>
      </c>
      <c r="F32" s="34" t="s">
        <v>128</v>
      </c>
    </row>
    <row r="33" spans="1:8" ht="15" customHeight="1" x14ac:dyDescent="0.2">
      <c r="A33" s="34" t="s">
        <v>129</v>
      </c>
      <c r="B33" s="37">
        <v>4.3999999999999997E-2</v>
      </c>
      <c r="C33" s="37">
        <v>4.2000000000000003E-2</v>
      </c>
      <c r="D33" s="37">
        <v>4.1000000000000002E-2</v>
      </c>
      <c r="E33" s="37">
        <v>3.9E-2</v>
      </c>
      <c r="F33" s="37">
        <v>3.6999999999999998E-2</v>
      </c>
    </row>
    <row r="34" spans="1:8" ht="15" customHeight="1" x14ac:dyDescent="0.2">
      <c r="A34" s="34" t="s">
        <v>130</v>
      </c>
      <c r="B34" s="37">
        <v>0.06</v>
      </c>
      <c r="C34" s="37">
        <v>5.8999999999999997E-2</v>
      </c>
      <c r="D34" s="37">
        <v>5.8000000000000003E-2</v>
      </c>
      <c r="E34" s="37">
        <v>5.7000000000000002E-2</v>
      </c>
      <c r="F34" s="37">
        <v>5.6000000000000001E-2</v>
      </c>
    </row>
    <row r="35" spans="1:8" ht="15" customHeight="1" x14ac:dyDescent="0.2">
      <c r="A35" s="34" t="s">
        <v>131</v>
      </c>
      <c r="B35" s="37">
        <v>7.3999999999999996E-2</v>
      </c>
      <c r="C35" s="37">
        <v>7.3999999999999996E-2</v>
      </c>
      <c r="D35" s="37">
        <v>7.3999999999999996E-2</v>
      </c>
      <c r="E35" s="37">
        <v>7.3999999999999996E-2</v>
      </c>
      <c r="F35" s="37">
        <v>7.3999999999999996E-2</v>
      </c>
    </row>
    <row r="36" spans="1:8" ht="15" customHeight="1" x14ac:dyDescent="0.2">
      <c r="A36" s="34" t="s">
        <v>132</v>
      </c>
      <c r="B36" s="37">
        <v>8.8999999999999996E-2</v>
      </c>
      <c r="C36" s="37">
        <v>8.8999999999999996E-2</v>
      </c>
      <c r="D36" s="38">
        <v>8.8999999999999996E-2</v>
      </c>
      <c r="E36" s="37">
        <v>0.09</v>
      </c>
      <c r="F36" s="37">
        <v>0.09</v>
      </c>
    </row>
    <row r="37" spans="1:8" ht="15" customHeight="1" x14ac:dyDescent="0.2">
      <c r="A37" s="34" t="s">
        <v>133</v>
      </c>
      <c r="B37" s="37">
        <v>0.10199999999999999</v>
      </c>
      <c r="C37" s="37">
        <v>0.10299999999999999</v>
      </c>
      <c r="D37" s="37">
        <v>0.104</v>
      </c>
      <c r="E37" s="37">
        <v>0.105</v>
      </c>
      <c r="F37" s="37">
        <v>0.106</v>
      </c>
    </row>
    <row r="38" spans="1:8" ht="15" customHeight="1" x14ac:dyDescent="0.2">
      <c r="A38" s="34" t="s">
        <v>134</v>
      </c>
      <c r="B38" s="37">
        <v>0.115</v>
      </c>
      <c r="C38" s="37">
        <v>0.11600000000000001</v>
      </c>
      <c r="D38" s="37">
        <v>0.11700000000000001</v>
      </c>
      <c r="E38" s="37">
        <v>0.11899999999999999</v>
      </c>
      <c r="F38" s="37">
        <v>0.121</v>
      </c>
    </row>
    <row r="39" spans="1:8" ht="15" customHeight="1" x14ac:dyDescent="0.2">
      <c r="A39" s="34" t="s">
        <v>135</v>
      </c>
      <c r="B39" s="37">
        <v>0.127</v>
      </c>
      <c r="C39" s="37">
        <v>0.129</v>
      </c>
      <c r="D39" s="37">
        <v>0.13100000000000001</v>
      </c>
      <c r="E39" s="37">
        <v>0.13300000000000001</v>
      </c>
      <c r="F39" s="37">
        <v>0.13500000000000001</v>
      </c>
    </row>
    <row r="42" spans="1:8" ht="15" customHeight="1" x14ac:dyDescent="0.2">
      <c r="A42" s="9" t="s">
        <v>137</v>
      </c>
      <c r="B42" s="10"/>
      <c r="C42" s="10"/>
      <c r="D42" s="10"/>
      <c r="E42" s="10"/>
      <c r="F42" s="10"/>
    </row>
    <row r="43" spans="1:8" ht="15" customHeight="1" x14ac:dyDescent="0.2">
      <c r="A43" s="1" t="s">
        <v>138</v>
      </c>
      <c r="B43" s="1"/>
      <c r="C43" s="1"/>
      <c r="D43" s="1"/>
      <c r="E43" s="1"/>
      <c r="F43" s="1"/>
      <c r="G43" s="1"/>
      <c r="H43" s="1"/>
    </row>
    <row r="44" spans="1:8" ht="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5" customHeight="1" x14ac:dyDescent="0.2">
      <c r="A45" s="1"/>
      <c r="B45" s="1"/>
      <c r="C45" s="1"/>
      <c r="D45" s="1"/>
      <c r="E45" s="1"/>
      <c r="F45" s="1"/>
      <c r="G45" s="1"/>
      <c r="H45" s="1"/>
    </row>
  </sheetData>
  <mergeCells count="2">
    <mergeCell ref="A18:H18"/>
    <mergeCell ref="A43:H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Assumptions</vt:lpstr>
      <vt:lpstr>Sources &amp; Uses</vt:lpstr>
      <vt:lpstr>Operating Model &amp; Debt Schedule</vt:lpstr>
      <vt:lpstr>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TALAH MOHAMMD B ALMUALAD</cp:lastModifiedBy>
  <cp:revision>0</cp:revision>
  <dcterms:created xsi:type="dcterms:W3CDTF">2026-07-07T00:39:53Z</dcterms:created>
  <dcterms:modified xsi:type="dcterms:W3CDTF">2026-07-07T00:43:37Z</dcterms:modified>
  <dc:language>en-US</dc:language>
</cp:coreProperties>
</file>